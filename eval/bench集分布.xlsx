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980" windowHeight="122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rgb="FF000000"/>
      <sz val="12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7">
    <fill>
      <patternFill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2F3"/>
      </patternFill>
    </fill>
    <fill>
      <patternFill patternType="solid">
        <fgColor rgb="00E2EFDA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7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8" applyAlignment="1">
      <alignment vertical="center"/>
    </xf>
    <xf numFmtId="0" fontId="8" fillId="0" borderId="8" applyAlignment="1">
      <alignment vertical="center"/>
    </xf>
    <xf numFmtId="0" fontId="9" fillId="0" borderId="9" applyAlignment="1">
      <alignment vertical="center"/>
    </xf>
    <xf numFmtId="0" fontId="9" fillId="0" borderId="0" applyAlignment="1">
      <alignment vertical="center"/>
    </xf>
    <xf numFmtId="0" fontId="10" fillId="5" borderId="10" applyAlignment="1">
      <alignment vertical="center"/>
    </xf>
    <xf numFmtId="0" fontId="11" fillId="6" borderId="11" applyAlignment="1">
      <alignment vertical="center"/>
    </xf>
    <xf numFmtId="0" fontId="12" fillId="6" borderId="10" applyAlignment="1">
      <alignment vertical="center"/>
    </xf>
    <xf numFmtId="0" fontId="13" fillId="7" borderId="12" applyAlignment="1">
      <alignment vertical="center"/>
    </xf>
    <xf numFmtId="0" fontId="14" fillId="0" borderId="13" applyAlignment="1">
      <alignment vertical="center"/>
    </xf>
    <xf numFmtId="0" fontId="15" fillId="0" borderId="14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3" borderId="5" applyAlignment="1" pivotButton="0" quotePrefix="0" xfId="0">
      <alignment vertical="center" wrapText="1"/>
    </xf>
    <xf numFmtId="0" fontId="1" fillId="3" borderId="6" applyAlignment="1" pivotButton="0" quotePrefix="0" xfId="0">
      <alignment vertical="center" wrapText="1"/>
    </xf>
    <xf numFmtId="0" fontId="0" fillId="0" borderId="0" pivotButton="0" quotePrefix="0" xfId="0"/>
    <xf numFmtId="0" fontId="21" fillId="0" borderId="0" applyAlignment="1" pivotButton="0" quotePrefix="0" xfId="0">
      <alignment horizontal="center"/>
    </xf>
    <xf numFmtId="0" fontId="22" fillId="0" borderId="0" pivotButton="0" quotePrefix="0" xfId="0"/>
    <xf numFmtId="0" fontId="23" fillId="35" borderId="15" pivotButton="0" quotePrefix="0" xfId="0"/>
    <xf numFmtId="0" fontId="0" fillId="0" borderId="15" pivotButton="0" quotePrefix="0" xfId="0"/>
    <xf numFmtId="0" fontId="23" fillId="36" borderId="15" pivotButton="0" quotePrefix="0" xfId="0"/>
    <xf numFmtId="0" fontId="23" fillId="0" borderId="1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tx>
            <strRef>
              <f>Sheet1!$B$1</f>
              <strCache>
                <ptCount val="1"/>
                <pt idx="0">
                  <v>数量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explosion val="0"/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solidFill>
                  <a:schemeClr val="bg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solidFill>
                  <a:schemeClr val="bg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solidFill>
                  <a:schemeClr val="bg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solidFill>
                  <a:schemeClr val="bg1"/>
                </a:solidFill>
                <a:prstDash val="solid"/>
              </a:ln>
            </spPr>
          </dPt>
          <dLbls>
            <numFmt formatCode="0%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zh-CN"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Sheet1!$A$2:$A$5</f>
              <strCache>
                <ptCount val="4"/>
                <pt idx="0">
                  <v>经</v>
                </pt>
                <pt idx="1">
                  <v>史</v>
                </pt>
                <pt idx="2">
                  <v>子</v>
                </pt>
                <pt idx="3">
                  <v>集</v>
                </pt>
              </strCache>
            </strRef>
          </cat>
          <val>
            <numRef>
              <f>Sheet1!$B$2:$B$5</f>
              <numCache>
                <formatCode>General</formatCode>
                <ptCount val="4"/>
                <pt idx="0">
                  <v>14</v>
                </pt>
                <pt idx="1">
                  <v>24</v>
                </pt>
                <pt idx="2">
                  <v>19</v>
                </pt>
                <pt idx="3">
                  <v>49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60"/>
      </doughnutChart>
    </plotArea>
    <legend>
      <legendPos val="t"/>
      <legendEntry>
        <idx val="0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</legendEntry>
      <legendEntry>
        <idx val="1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</legendEntry>
      <legendEntry>
        <idx val="2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</legendEntry>
      <legendEntry>
        <idx val="3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</legendEntry>
      <layout>
        <manualLayout>
          <xMode val="edge"/>
          <yMode val="edge"/>
          <wMode val="factor"/>
          <hMode val="factor"/>
          <x val="0.345148132607801"/>
          <y val="0.072329762223910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explosion val="0"/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solidFill>
                  <a:schemeClr val="bg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solidFill>
                  <a:schemeClr val="bg1"/>
                </a:solidFill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solidFill>
                  <a:schemeClr val="bg1"/>
                </a:solidFill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chemeClr val="accent4"/>
              </a:solidFill>
              <a:ln xmlns:a="http://schemas.openxmlformats.org/drawingml/2006/main">
                <a:solidFill>
                  <a:schemeClr val="bg1"/>
                </a:solidFill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chemeClr val="accent5"/>
              </a:solidFill>
              <a:ln xmlns:a="http://schemas.openxmlformats.org/drawingml/2006/main">
                <a:solidFill>
                  <a:schemeClr val="bg1"/>
                </a:solidFill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0" vertOverflow="ellipsis" vert="horz" wrap="square" lIns="38100" tIns="19050" rIns="38100" bIns="19050" anchor="ctr" anchorCtr="1"/>
              <a:lstStyle xmlns:a="http://schemas.openxmlformats.org/drawingml/2006/main"/>
              <a:p xmlns:a="http://schemas.openxmlformats.org/drawingml/2006/main">
                <a:pPr>
                  <a:defRPr lang="zh-CN" sz="12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Sheet1!$C$2:$C$6</f>
              <strCache>
                <ptCount val="5"/>
                <pt idx="0">
                  <v>宋</v>
                </pt>
                <pt idx="1">
                  <v>元</v>
                </pt>
                <pt idx="2">
                  <v>明</v>
                </pt>
                <pt idx="3">
                  <v>清</v>
                </pt>
                <pt idx="4">
                  <v>域外</v>
                </pt>
              </strCache>
            </strRef>
          </cat>
          <val>
            <numRef>
              <f>Sheet1!$D$2:$D$6</f>
              <numCache>
                <formatCode>General</formatCode>
                <ptCount val="5"/>
                <pt idx="0">
                  <v>18</v>
                </pt>
                <pt idx="1">
                  <v>10</v>
                </pt>
                <pt idx="2">
                  <v>38</v>
                </pt>
                <pt idx="3">
                  <v>27</v>
                </pt>
                <pt idx="4">
                  <v>12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  <showLeaderLines val="1"/>
        </dLbls>
        <firstSliceAng val="0"/>
        <holeSize val="60"/>
      </doughnutChart>
    </plotArea>
    <legend>
      <legendPos val="t"/>
      <legendEntry>
        <idx val="0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</legendEntry>
      <legendEntry>
        <idx val="1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</legendEntry>
      <legendEntry>
        <idx val="2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</legendEntry>
      <legendEntry>
        <idx val="3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</legendEntry>
      <legendEntry>
        <idx val="4"/>
        <delete val="0"/>
        <txPr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</a:p>
        </txPr>
      </legendEntry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2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588010</colOff>
      <row>9</row>
      <rowOff>77470</rowOff>
    </from>
    <to>
      <col>11</col>
      <colOff>504825</colOff>
      <row>29</row>
      <rowOff>130810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440055</colOff>
      <row>9</row>
      <rowOff>78105</rowOff>
    </from>
    <to>
      <col>20</col>
      <colOff>199390</colOff>
      <row>29</row>
      <rowOff>147955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tabSelected="1" topLeftCell="A5" workbookViewId="0">
      <selection activeCell="A17" sqref="A17"/>
    </sheetView>
  </sheetViews>
  <sheetFormatPr baseColWidth="8" defaultColWidth="9.23076923076923" defaultRowHeight="16.8" outlineLevelRow="5"/>
  <cols>
    <col width="28" customWidth="1" style="7" min="1" max="1"/>
    <col width="14" customWidth="1" style="7" min="2" max="2"/>
    <col width="14" customWidth="1" style="7" min="3" max="3"/>
    <col width="14" customWidth="1" style="7" min="4" max="4"/>
    <col width="14" customWidth="1" style="7" min="5" max="5"/>
    <col width="14" customWidth="1" style="7" min="6" max="6"/>
  </cols>
  <sheetData>
    <row r="1" ht="18" customHeight="1" s="7">
      <c r="A1" s="8" t="inlineStr">
        <is>
          <t>SongPanda-Bench 数据集分布统计（v2.1，427 张）</t>
        </is>
      </c>
    </row>
    <row r="2" ht="18" customHeight="1" s="7"/>
    <row r="3" ht="18" customHeight="1" s="7">
      <c r="A3" s="9" t="inlineStr">
        <is>
          <t>一、SongPanda-Bench 原 356 张分布</t>
        </is>
      </c>
    </row>
    <row r="4" ht="18" customHeight="1" s="7">
      <c r="A4" s="10" t="inlineStr">
        <is>
          <t>四部</t>
        </is>
      </c>
      <c r="B4" s="10" t="inlineStr">
        <is>
          <t>数量</t>
        </is>
      </c>
      <c r="C4" s="10" t="inlineStr">
        <is>
          <t>来源/朝代</t>
        </is>
      </c>
      <c r="D4" s="10" t="inlineStr">
        <is>
          <t>数量</t>
        </is>
      </c>
    </row>
    <row r="5" ht="18" customHeight="1" s="7">
      <c r="A5" s="11" t="inlineStr">
        <is>
          <t>经</t>
        </is>
      </c>
      <c r="B5" s="11" t="n">
        <v>14</v>
      </c>
      <c r="C5" s="11" t="n">
        <v>14</v>
      </c>
      <c r="D5" s="11" t="inlineStr">
        <is>
          <t>宋</t>
        </is>
      </c>
    </row>
    <row r="6" ht="18.75" customHeight="1" s="7">
      <c r="A6" s="11" t="inlineStr">
        <is>
          <t>史</t>
        </is>
      </c>
      <c r="B6" s="11" t="n">
        <v>24</v>
      </c>
      <c r="C6" s="11" t="n">
        <v>24</v>
      </c>
      <c r="D6" s="11" t="inlineStr">
        <is>
          <t>元</t>
        </is>
      </c>
    </row>
    <row r="7">
      <c r="A7" s="11" t="inlineStr">
        <is>
          <t>子</t>
        </is>
      </c>
      <c r="B7" s="11" t="n">
        <v>19</v>
      </c>
      <c r="C7" s="11" t="n">
        <v>19</v>
      </c>
      <c r="D7" s="11" t="inlineStr">
        <is>
          <t>明</t>
        </is>
      </c>
    </row>
    <row r="8">
      <c r="A8" s="11" t="inlineStr">
        <is>
          <t>集</t>
        </is>
      </c>
      <c r="B8" s="11" t="n">
        <v>49</v>
      </c>
      <c r="C8" s="11" t="n">
        <v>49</v>
      </c>
      <c r="D8" s="11" t="inlineStr">
        <is>
          <t>清</t>
        </is>
      </c>
    </row>
    <row r="9">
      <c r="A9" s="11" t="inlineStr"/>
      <c r="B9" s="11" t="inlineStr"/>
      <c r="C9" s="11" t="inlineStr"/>
      <c r="D9" s="11" t="inlineStr">
        <is>
          <t>域外</t>
        </is>
      </c>
    </row>
    <row r="11">
      <c r="A11" s="9" t="inlineStr">
        <is>
          <t>二、SongPanda-Bench 复杂子集（53 张，像素模糊/水渍/遮挡/密集汉字/密集标注）</t>
        </is>
      </c>
    </row>
    <row r="12">
      <c r="A12" s="12" t="inlineStr">
        <is>
          <t>序号</t>
        </is>
      </c>
      <c r="B12" s="12" t="inlineStr">
        <is>
          <t>原 index</t>
        </is>
      </c>
    </row>
    <row r="13">
      <c r="C13" s="11" t="n">
        <v>3</v>
      </c>
      <c r="D13" s="11" t="n">
        <v>5</v>
      </c>
      <c r="E13" s="11" t="n">
        <v>11</v>
      </c>
      <c r="F13" s="11" t="n">
        <v>42</v>
      </c>
      <c r="G13" s="11" t="n">
        <v>43</v>
      </c>
      <c r="H13" s="11" t="n">
        <v>61</v>
      </c>
      <c r="I13" s="11" t="n">
        <v>62</v>
      </c>
      <c r="J13" s="11" t="n">
        <v>63</v>
      </c>
      <c r="K13" s="11" t="n">
        <v>66</v>
      </c>
      <c r="L13" s="11" t="n">
        <v>68</v>
      </c>
    </row>
    <row r="14">
      <c r="C14" s="11" t="n">
        <v>69</v>
      </c>
      <c r="D14" s="11" t="n">
        <v>70</v>
      </c>
      <c r="E14" s="11" t="n">
        <v>71</v>
      </c>
      <c r="F14" s="11" t="n">
        <v>72</v>
      </c>
      <c r="G14" s="11" t="n">
        <v>73</v>
      </c>
      <c r="H14" s="11" t="n">
        <v>74</v>
      </c>
      <c r="I14" s="11" t="n">
        <v>111</v>
      </c>
      <c r="J14" s="11" t="n">
        <v>112</v>
      </c>
      <c r="K14" s="11" t="n">
        <v>113</v>
      </c>
      <c r="L14" s="11" t="n">
        <v>114</v>
      </c>
    </row>
    <row r="15">
      <c r="C15" s="11" t="n">
        <v>115</v>
      </c>
      <c r="D15" s="11" t="n">
        <v>116</v>
      </c>
      <c r="E15" s="11" t="n">
        <v>121</v>
      </c>
      <c r="F15" s="11" t="n">
        <v>124</v>
      </c>
      <c r="G15" s="11" t="n">
        <v>125</v>
      </c>
      <c r="H15" s="11" t="n">
        <v>129</v>
      </c>
      <c r="I15" s="11" t="n">
        <v>130</v>
      </c>
      <c r="J15" s="11" t="n">
        <v>133</v>
      </c>
      <c r="K15" s="11" t="n">
        <v>135</v>
      </c>
      <c r="L15" s="11" t="n">
        <v>136</v>
      </c>
    </row>
    <row r="16">
      <c r="C16" s="11" t="n">
        <v>140</v>
      </c>
      <c r="D16" s="11" t="n">
        <v>149</v>
      </c>
      <c r="E16" s="11" t="n">
        <v>150</v>
      </c>
      <c r="F16" s="11" t="n">
        <v>154</v>
      </c>
      <c r="G16" s="11" t="n">
        <v>156</v>
      </c>
      <c r="H16" s="11" t="n">
        <v>157</v>
      </c>
      <c r="I16" s="11" t="n">
        <v>158</v>
      </c>
      <c r="J16" s="11" t="n">
        <v>159</v>
      </c>
      <c r="K16" s="11" t="n">
        <v>160</v>
      </c>
      <c r="L16" s="11" t="n">
        <v>166</v>
      </c>
    </row>
    <row r="17">
      <c r="C17" s="11" t="n">
        <v>196</v>
      </c>
      <c r="D17" s="11" t="n">
        <v>212</v>
      </c>
      <c r="E17" s="11" t="n">
        <v>218</v>
      </c>
      <c r="F17" s="11" t="n">
        <v>237</v>
      </c>
      <c r="G17" s="11" t="n">
        <v>247</v>
      </c>
      <c r="H17" s="11" t="n">
        <v>248</v>
      </c>
      <c r="I17" s="11" t="n">
        <v>270</v>
      </c>
      <c r="J17" s="11" t="n">
        <v>275</v>
      </c>
      <c r="K17" s="11" t="n">
        <v>329</v>
      </c>
      <c r="L17" s="11" t="n">
        <v>332</v>
      </c>
    </row>
    <row r="18">
      <c r="C18" s="11" t="n">
        <v>333</v>
      </c>
      <c r="D18" s="11" t="n">
        <v>339</v>
      </c>
      <c r="E18" s="11" t="n">
        <v>355</v>
      </c>
    </row>
    <row r="20">
      <c r="A20" s="9" t="inlineStr">
        <is>
          <t>三、复杂版面新增 71 张（表格/版画/结构图/双行小字等难版面）</t>
        </is>
      </c>
    </row>
    <row r="21">
      <c r="A21" s="12" t="inlineStr">
        <is>
          <t>序号范围</t>
        </is>
      </c>
      <c r="B21" s="12" t="inlineStr">
        <is>
          <t>index 范围</t>
        </is>
      </c>
    </row>
    <row r="22">
      <c r="C22" s="11" t="n">
        <v>357</v>
      </c>
      <c r="D22" s="11" t="n">
        <v>358</v>
      </c>
      <c r="E22" s="11" t="n">
        <v>359</v>
      </c>
      <c r="F22" s="11" t="n">
        <v>360</v>
      </c>
      <c r="G22" s="11" t="n">
        <v>361</v>
      </c>
      <c r="H22" s="11" t="n">
        <v>362</v>
      </c>
      <c r="I22" s="11" t="n">
        <v>363</v>
      </c>
      <c r="J22" s="11" t="n">
        <v>364</v>
      </c>
      <c r="K22" s="11" t="n">
        <v>365</v>
      </c>
      <c r="L22" s="11" t="n">
        <v>366</v>
      </c>
    </row>
    <row r="23">
      <c r="C23" s="11" t="n">
        <v>367</v>
      </c>
      <c r="D23" s="11" t="n">
        <v>368</v>
      </c>
      <c r="E23" s="11" t="n">
        <v>369</v>
      </c>
      <c r="F23" s="11" t="n">
        <v>370</v>
      </c>
      <c r="G23" s="11" t="n">
        <v>371</v>
      </c>
      <c r="H23" s="11" t="n">
        <v>372</v>
      </c>
      <c r="I23" s="11" t="n">
        <v>373</v>
      </c>
      <c r="J23" s="11" t="n">
        <v>374</v>
      </c>
      <c r="K23" s="11" t="n">
        <v>375</v>
      </c>
      <c r="L23" s="11" t="n">
        <v>376</v>
      </c>
    </row>
    <row r="24">
      <c r="C24" s="11" t="n">
        <v>377</v>
      </c>
      <c r="D24" s="11" t="n">
        <v>378</v>
      </c>
      <c r="E24" s="11" t="n">
        <v>379</v>
      </c>
      <c r="F24" s="11" t="n">
        <v>380</v>
      </c>
      <c r="G24" s="11" t="n">
        <v>381</v>
      </c>
      <c r="H24" s="11" t="n">
        <v>382</v>
      </c>
      <c r="I24" s="11" t="n">
        <v>383</v>
      </c>
      <c r="J24" s="11" t="n">
        <v>384</v>
      </c>
      <c r="K24" s="11" t="n">
        <v>385</v>
      </c>
      <c r="L24" s="11" t="n">
        <v>386</v>
      </c>
    </row>
    <row r="25">
      <c r="C25" s="11" t="n">
        <v>387</v>
      </c>
      <c r="D25" s="11" t="n">
        <v>388</v>
      </c>
      <c r="E25" s="11" t="n">
        <v>389</v>
      </c>
      <c r="F25" s="11" t="n">
        <v>390</v>
      </c>
      <c r="G25" s="11" t="n">
        <v>391</v>
      </c>
      <c r="H25" s="11" t="n">
        <v>392</v>
      </c>
      <c r="I25" s="11" t="n">
        <v>393</v>
      </c>
      <c r="J25" s="11" t="n">
        <v>394</v>
      </c>
      <c r="K25" s="11" t="n">
        <v>395</v>
      </c>
      <c r="L25" s="11" t="n">
        <v>396</v>
      </c>
    </row>
    <row r="26">
      <c r="C26" s="11" t="n">
        <v>397</v>
      </c>
      <c r="D26" s="11" t="n">
        <v>398</v>
      </c>
      <c r="E26" s="11" t="n">
        <v>399</v>
      </c>
      <c r="F26" s="11" t="n">
        <v>400</v>
      </c>
      <c r="G26" s="11" t="n">
        <v>401</v>
      </c>
      <c r="H26" s="11" t="n">
        <v>402</v>
      </c>
      <c r="I26" s="11" t="n">
        <v>403</v>
      </c>
      <c r="J26" s="11" t="n">
        <v>404</v>
      </c>
      <c r="K26" s="11" t="n">
        <v>405</v>
      </c>
      <c r="L26" s="11" t="n">
        <v>406</v>
      </c>
    </row>
    <row r="27">
      <c r="C27" s="11" t="n">
        <v>407</v>
      </c>
      <c r="D27" s="11" t="n">
        <v>408</v>
      </c>
      <c r="E27" s="11" t="n">
        <v>409</v>
      </c>
      <c r="F27" s="11" t="n">
        <v>410</v>
      </c>
      <c r="G27" s="11" t="n">
        <v>411</v>
      </c>
      <c r="H27" s="11" t="n">
        <v>412</v>
      </c>
      <c r="I27" s="11" t="n">
        <v>413</v>
      </c>
      <c r="J27" s="11" t="n">
        <v>414</v>
      </c>
      <c r="K27" s="11" t="n">
        <v>415</v>
      </c>
      <c r="L27" s="11" t="n">
        <v>416</v>
      </c>
    </row>
    <row r="28">
      <c r="C28" s="11" t="n">
        <v>417</v>
      </c>
      <c r="D28" s="11" t="n">
        <v>418</v>
      </c>
      <c r="E28" s="11" t="n">
        <v>419</v>
      </c>
      <c r="F28" s="11" t="n">
        <v>420</v>
      </c>
      <c r="G28" s="11" t="n">
        <v>421</v>
      </c>
      <c r="H28" s="11" t="n">
        <v>422</v>
      </c>
      <c r="I28" s="11" t="n">
        <v>423</v>
      </c>
      <c r="J28" s="11" t="n">
        <v>424</v>
      </c>
      <c r="K28" s="11" t="n">
        <v>425</v>
      </c>
      <c r="L28" s="11" t="n">
        <v>426</v>
      </c>
    </row>
    <row r="29">
      <c r="C29" s="11" t="n">
        <v>427</v>
      </c>
    </row>
    <row r="31">
      <c r="A31" s="9" t="inlineStr">
        <is>
          <t>四、汇总</t>
        </is>
      </c>
    </row>
    <row r="32">
      <c r="A32" s="10" t="inlineStr">
        <is>
          <t>数据集</t>
        </is>
      </c>
      <c r="B32" s="10" t="inlineStr">
        <is>
          <t>数量</t>
        </is>
      </c>
      <c r="C32" s="10" t="inlineStr">
        <is>
          <t>难度</t>
        </is>
      </c>
      <c r="D32" s="10" t="inlineStr">
        <is>
          <t>说明</t>
        </is>
      </c>
    </row>
    <row r="33">
      <c r="A33" s="11" t="inlineStr">
        <is>
          <t>SongPanda-Bench（原）</t>
        </is>
      </c>
      <c r="B33" s="11" t="inlineStr">
        <is>
          <t>303</t>
        </is>
      </c>
      <c r="C33" s="11" t="inlineStr">
        <is>
          <t>普通</t>
        </is>
      </c>
      <c r="D33" s="11" t="inlineStr">
        <is>
          <t>常规古籍书影</t>
        </is>
      </c>
    </row>
    <row r="34">
      <c r="A34" s="11" t="inlineStr">
        <is>
          <t>SongPanda-Bench（复杂子集）</t>
        </is>
      </c>
      <c r="B34" s="11" t="inlineStr">
        <is>
          <t>53</t>
        </is>
      </c>
      <c r="C34" s="11" t="inlineStr">
        <is>
          <t>困难</t>
        </is>
      </c>
      <c r="D34" s="11" t="inlineStr">
        <is>
          <t>像素模糊/水渍/遮挡/密集汉字/标注</t>
        </is>
      </c>
    </row>
    <row r="35">
      <c r="A35" s="11" t="inlineStr">
        <is>
          <t>复杂版面（新增）</t>
        </is>
      </c>
      <c r="B35" s="11" t="inlineStr">
        <is>
          <t>71</t>
        </is>
      </c>
      <c r="C35" s="11" t="inlineStr">
        <is>
          <t>困难</t>
        </is>
      </c>
      <c r="D35" s="11" t="inlineStr">
        <is>
          <t>表格/版画/结构图/双行小字</t>
        </is>
      </c>
    </row>
    <row r="36">
      <c r="A36" s="13" t="inlineStr">
        <is>
          <t>合计</t>
        </is>
      </c>
      <c r="B36" s="13" t="inlineStr">
        <is>
          <t>427</t>
        </is>
      </c>
      <c r="C36" s="13" t="inlineStr"/>
      <c r="D36" s="13" t="inlineStr"/>
    </row>
  </sheetData>
  <mergeCells count="5">
    <mergeCell ref="A11:F11"/>
    <mergeCell ref="A1:F1"/>
    <mergeCell ref="A31:F31"/>
    <mergeCell ref="A3:F3"/>
    <mergeCell ref="A20:F2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擢宁</dc:creator>
  <dcterms:created xmlns:dcterms="http://purl.org/dc/terms/" xmlns:xsi="http://www.w3.org/2001/XMLSchema-instance" xsi:type="dcterms:W3CDTF">2025-10-28T15:55:13Z</dcterms:created>
  <dcterms:modified xmlns:dcterms="http://purl.org/dc/terms/" xmlns:xsi="http://www.w3.org/2001/XMLSchema-instance" xsi:type="dcterms:W3CDTF">2026-06-25T04:01:30Z</dcterms:modified>
  <cp:lastModifiedBy>擢宁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247A77FA9C56824EE176006970BE229D_41</vt:lpwstr>
  </property>
  <property name="KSOProductBuildVer" fmtid="{D5CDD505-2E9C-101B-9397-08002B2CF9AE}" pid="3">
    <vt:lpwstr xmlns:vt="http://schemas.openxmlformats.org/officeDocument/2006/docPropsVTypes">2052-6.12.1.8902</vt:lpwstr>
  </property>
</Properties>
</file>